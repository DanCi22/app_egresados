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f28f168061206d/Documentos/Mejora de procesos/"/>
    </mc:Choice>
  </mc:AlternateContent>
  <xr:revisionPtr revIDLastSave="0" documentId="8_{844DE39D-34BD-418B-A276-4A3236372179}" xr6:coauthVersionLast="36" xr6:coauthVersionMax="36" xr10:uidLastSave="{00000000-0000-0000-0000-000000000000}"/>
  <bookViews>
    <workbookView xWindow="0" yWindow="0" windowWidth="23016" windowHeight="8916" firstSheet="2" activeTab="5" xr2:uid="{DB82E05E-58E2-4F58-BB3F-D72E250A4FF7}"/>
  </bookViews>
  <sheets>
    <sheet name="Sprint 1" sheetId="1" r:id="rId1"/>
    <sheet name="Sprint 2" sheetId="2" r:id="rId2"/>
    <sheet name="Sprint 3" sheetId="3" r:id="rId3"/>
    <sheet name="Sprint 4" sheetId="4" r:id="rId4"/>
    <sheet name="Sprint 5" sheetId="5" r:id="rId5"/>
    <sheet name="Sprint 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6" l="1"/>
  <c r="B5" i="6"/>
  <c r="B6" i="6" s="1"/>
  <c r="B7" i="6" s="1"/>
  <c r="B8" i="6" s="1"/>
  <c r="B9" i="6" s="1"/>
  <c r="B10" i="6" s="1"/>
  <c r="B11" i="6" s="1"/>
  <c r="D4" i="5"/>
  <c r="B5" i="5" s="1"/>
  <c r="B6" i="5" s="1"/>
  <c r="B7" i="5" s="1"/>
  <c r="B8" i="5" s="1"/>
  <c r="B9" i="5" s="1"/>
  <c r="B10" i="5" s="1"/>
  <c r="B11" i="5" s="1"/>
  <c r="D4" i="4"/>
  <c r="B5" i="4" s="1"/>
  <c r="B6" i="4" s="1"/>
  <c r="B7" i="4" s="1"/>
  <c r="B8" i="4" s="1"/>
  <c r="B9" i="4" s="1"/>
  <c r="B10" i="4" s="1"/>
  <c r="B11" i="4" s="1"/>
  <c r="B9" i="3"/>
  <c r="B11" i="2"/>
  <c r="D4" i="2"/>
  <c r="B5" i="2" s="1"/>
  <c r="B6" i="2" s="1"/>
  <c r="B7" i="2" s="1"/>
  <c r="B8" i="2" s="1"/>
  <c r="B9" i="2" s="1"/>
  <c r="B10" i="2" s="1"/>
  <c r="D4" i="3"/>
  <c r="B5" i="3"/>
  <c r="B6" i="3" s="1"/>
  <c r="B7" i="3" s="1"/>
  <c r="B8" i="3" s="1"/>
  <c r="D4" i="1"/>
  <c r="B5" i="1" s="1"/>
  <c r="B6" i="1" s="1"/>
  <c r="B7" i="1" s="1"/>
  <c r="B8" i="1" s="1"/>
  <c r="B9" i="1" s="1"/>
</calcChain>
</file>

<file path=xl/sharedStrings.xml><?xml version="1.0" encoding="utf-8"?>
<sst xmlns="http://schemas.openxmlformats.org/spreadsheetml/2006/main" count="24" uniqueCount="9">
  <si>
    <t>Sprint 1</t>
  </si>
  <si>
    <t>Fecha</t>
  </si>
  <si>
    <t>Estimado</t>
  </si>
  <si>
    <t>Real</t>
  </si>
  <si>
    <t>Sprint 2</t>
  </si>
  <si>
    <t>Sprint 3</t>
  </si>
  <si>
    <t>Sprint 4</t>
  </si>
  <si>
    <t>Sprint 5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</si>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</sst>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5" fontId="0" fillId="0" borderId="0" xfId="0" applyNumberFormat="1" applyAlignment="1">
      <alignment horizontal="center" vertical="top"/>
    </xf>
    <xf numFmtId="17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Born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1'!$B$3</c:f>
              <c:strCache>
                <c:ptCount val="1"/>
                <c:pt idx="0">
                  <c:v>Estimado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1'!$A$4:$A$10</c:f>
              <c:numCache>
                <c:formatCode>d\-mmm\-yy</c:formatCode>
                <c:ptCount val="7"/>
                <c:pt idx="0">
                  <c:v>45932</c:v>
                </c:pt>
                <c:pt idx="1">
                  <c:v>45933</c:v>
                </c:pt>
                <c:pt idx="2">
                  <c:v>45934</c:v>
                </c:pt>
                <c:pt idx="3">
                  <c:v>45935</c:v>
                </c:pt>
                <c:pt idx="4">
                  <c:v>45936</c:v>
                </c:pt>
                <c:pt idx="5">
                  <c:v>45937</c:v>
                </c:pt>
                <c:pt idx="6">
                  <c:v>45938</c:v>
                </c:pt>
              </c:numCache>
            </c:numRef>
          </c:cat>
          <c:val>
            <c:numRef>
              <c:f>'Sprint 1'!$B$4:$B$10</c:f>
              <c:numCache>
                <c:formatCode>_-* #,##0_-;\-* #,##0_-;_-* "-"??_-;_-@_-</c:formatCode>
                <c:ptCount val="7"/>
                <c:pt idx="0" formatCode="General">
                  <c:v>22</c:v>
                </c:pt>
                <c:pt idx="1">
                  <c:v>18.333333333333332</c:v>
                </c:pt>
                <c:pt idx="2">
                  <c:v>14.666666666666666</c:v>
                </c:pt>
                <c:pt idx="3">
                  <c:v>11</c:v>
                </c:pt>
                <c:pt idx="4">
                  <c:v>7.3333333333333339</c:v>
                </c:pt>
                <c:pt idx="5">
                  <c:v>3.6666666666666674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9-44B2-9DF9-AC8415F05E4D}"/>
            </c:ext>
          </c:extLst>
        </c:ser>
        <c:ser>
          <c:idx val="1"/>
          <c:order val="1"/>
          <c:tx>
            <c:strRef>
              <c:f>'Sprint 1'!$C$3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1'!$A$4:$A$10</c:f>
              <c:numCache>
                <c:formatCode>d\-mmm\-yy</c:formatCode>
                <c:ptCount val="7"/>
                <c:pt idx="0">
                  <c:v>45932</c:v>
                </c:pt>
                <c:pt idx="1">
                  <c:v>45933</c:v>
                </c:pt>
                <c:pt idx="2">
                  <c:v>45934</c:v>
                </c:pt>
                <c:pt idx="3">
                  <c:v>45935</c:v>
                </c:pt>
                <c:pt idx="4">
                  <c:v>45936</c:v>
                </c:pt>
                <c:pt idx="5">
                  <c:v>45937</c:v>
                </c:pt>
                <c:pt idx="6">
                  <c:v>45938</c:v>
                </c:pt>
              </c:numCache>
            </c:numRef>
          </c:cat>
          <c:val>
            <c:numRef>
              <c:f>'Sprint 1'!$C$4:$C$10</c:f>
              <c:numCache>
                <c:formatCode>General</c:formatCode>
                <c:ptCount val="7"/>
                <c:pt idx="0">
                  <c:v>22</c:v>
                </c:pt>
                <c:pt idx="1">
                  <c:v>20</c:v>
                </c:pt>
                <c:pt idx="2">
                  <c:v>16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9-44B2-9DF9-AC8415F05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136080"/>
        <c:axId val="1258112864"/>
      </c:lineChart>
      <c:dateAx>
        <c:axId val="125113608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8112864"/>
        <c:crosses val="autoZero"/>
        <c:auto val="1"/>
        <c:lblOffset val="100"/>
        <c:baseTimeUnit val="days"/>
      </c:dateAx>
      <c:valAx>
        <c:axId val="12581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11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Born</a:t>
            </a:r>
            <a:r>
              <a:rPr lang="es-MX" baseline="0"/>
              <a:t> Down Chart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2'!$B$3</c:f>
              <c:strCache>
                <c:ptCount val="1"/>
                <c:pt idx="0">
                  <c:v>Estimado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2'!$A$4:$A$10</c:f>
              <c:numCache>
                <c:formatCode>d\-mmm\-yy</c:formatCode>
                <c:ptCount val="7"/>
                <c:pt idx="0">
                  <c:v>45939</c:v>
                </c:pt>
                <c:pt idx="1">
                  <c:v>45940</c:v>
                </c:pt>
                <c:pt idx="2">
                  <c:v>45941</c:v>
                </c:pt>
                <c:pt idx="3">
                  <c:v>45942</c:v>
                </c:pt>
                <c:pt idx="4">
                  <c:v>45943</c:v>
                </c:pt>
                <c:pt idx="5">
                  <c:v>45944</c:v>
                </c:pt>
                <c:pt idx="6">
                  <c:v>45945</c:v>
                </c:pt>
              </c:numCache>
            </c:numRef>
          </c:cat>
          <c:val>
            <c:numRef>
              <c:f>'Sprint 2'!$B$4:$B$10</c:f>
              <c:numCache>
                <c:formatCode>_-* #,##0_-;\-* #,##0_-;_-* "-"??_-;_-@_-</c:formatCode>
                <c:ptCount val="7"/>
                <c:pt idx="0" formatCode="General">
                  <c:v>28</c:v>
                </c:pt>
                <c:pt idx="1">
                  <c:v>24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3-4F16-B040-6D93580E4DF8}"/>
            </c:ext>
          </c:extLst>
        </c:ser>
        <c:ser>
          <c:idx val="1"/>
          <c:order val="1"/>
          <c:tx>
            <c:strRef>
              <c:f>'Sprint 2'!$C$3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2'!$A$4:$A$10</c:f>
              <c:numCache>
                <c:formatCode>d\-mmm\-yy</c:formatCode>
                <c:ptCount val="7"/>
                <c:pt idx="0">
                  <c:v>45939</c:v>
                </c:pt>
                <c:pt idx="1">
                  <c:v>45940</c:v>
                </c:pt>
                <c:pt idx="2">
                  <c:v>45941</c:v>
                </c:pt>
                <c:pt idx="3">
                  <c:v>45942</c:v>
                </c:pt>
                <c:pt idx="4">
                  <c:v>45943</c:v>
                </c:pt>
                <c:pt idx="5">
                  <c:v>45944</c:v>
                </c:pt>
                <c:pt idx="6">
                  <c:v>45945</c:v>
                </c:pt>
              </c:numCache>
            </c:numRef>
          </c:cat>
          <c:val>
            <c:numRef>
              <c:f>'Sprint 2'!$C$4:$C$10</c:f>
              <c:numCache>
                <c:formatCode>General</c:formatCode>
                <c:ptCount val="7"/>
                <c:pt idx="0">
                  <c:v>28</c:v>
                </c:pt>
                <c:pt idx="1">
                  <c:v>25</c:v>
                </c:pt>
                <c:pt idx="2">
                  <c:v>20</c:v>
                </c:pt>
                <c:pt idx="3">
                  <c:v>13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A3-4F16-B040-6D93580E4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19376"/>
        <c:axId val="1335080624"/>
      </c:lineChart>
      <c:dateAx>
        <c:axId val="12475193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5080624"/>
        <c:crosses val="autoZero"/>
        <c:auto val="1"/>
        <c:lblOffset val="100"/>
        <c:baseTimeUnit val="days"/>
      </c:dateAx>
      <c:valAx>
        <c:axId val="13350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751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Born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3'!$B$3</c:f>
              <c:strCache>
                <c:ptCount val="1"/>
                <c:pt idx="0">
                  <c:v>Estimado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3'!$A$4:$A$9</c:f>
              <c:numCache>
                <c:formatCode>d\-mmm\-yy</c:formatCode>
                <c:ptCount val="6"/>
                <c:pt idx="0">
                  <c:v>45945</c:v>
                </c:pt>
                <c:pt idx="1">
                  <c:v>45946</c:v>
                </c:pt>
                <c:pt idx="2">
                  <c:v>45947</c:v>
                </c:pt>
                <c:pt idx="3">
                  <c:v>45948</c:v>
                </c:pt>
                <c:pt idx="4">
                  <c:v>45949</c:v>
                </c:pt>
                <c:pt idx="5">
                  <c:v>45950</c:v>
                </c:pt>
              </c:numCache>
            </c:numRef>
          </c:cat>
          <c:val>
            <c:numRef>
              <c:f>'Sprint 3'!$B$4:$B$9</c:f>
              <c:numCache>
                <c:formatCode>_-* #,##0_-;\-* #,##0_-;_-* "-"??_-;_-@_-</c:formatCode>
                <c:ptCount val="6"/>
                <c:pt idx="0" formatCode="General">
                  <c:v>24</c:v>
                </c:pt>
                <c:pt idx="1">
                  <c:v>19.2</c:v>
                </c:pt>
                <c:pt idx="2">
                  <c:v>14.399999999999999</c:v>
                </c:pt>
                <c:pt idx="3">
                  <c:v>9.5999999999999979</c:v>
                </c:pt>
                <c:pt idx="4">
                  <c:v>4.799999999999998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A-4C58-B99C-35BC7D7C9D07}"/>
            </c:ext>
          </c:extLst>
        </c:ser>
        <c:ser>
          <c:idx val="1"/>
          <c:order val="1"/>
          <c:tx>
            <c:strRef>
              <c:f>'Sprint 3'!$C$3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3'!$A$4:$A$9</c:f>
              <c:numCache>
                <c:formatCode>d\-mmm\-yy</c:formatCode>
                <c:ptCount val="6"/>
                <c:pt idx="0">
                  <c:v>45945</c:v>
                </c:pt>
                <c:pt idx="1">
                  <c:v>45946</c:v>
                </c:pt>
                <c:pt idx="2">
                  <c:v>45947</c:v>
                </c:pt>
                <c:pt idx="3">
                  <c:v>45948</c:v>
                </c:pt>
                <c:pt idx="4">
                  <c:v>45949</c:v>
                </c:pt>
                <c:pt idx="5">
                  <c:v>45950</c:v>
                </c:pt>
              </c:numCache>
            </c:numRef>
          </c:cat>
          <c:val>
            <c:numRef>
              <c:f>'Sprint 3'!$C$4:$C$9</c:f>
              <c:numCache>
                <c:formatCode>General</c:formatCode>
                <c:ptCount val="6"/>
                <c:pt idx="0">
                  <c:v>24</c:v>
                </c:pt>
                <c:pt idx="1">
                  <c:v>22</c:v>
                </c:pt>
                <c:pt idx="2">
                  <c:v>12</c:v>
                </c:pt>
                <c:pt idx="3">
                  <c:v>8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A-4C58-B99C-35BC7D7C9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997424"/>
        <c:axId val="1206553296"/>
      </c:lineChart>
      <c:dateAx>
        <c:axId val="124199742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6553296"/>
        <c:crosses val="autoZero"/>
        <c:auto val="1"/>
        <c:lblOffset val="100"/>
        <c:baseTimeUnit val="days"/>
      </c:dateAx>
      <c:valAx>
        <c:axId val="12065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19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Born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4'!$A$4:$A$11</c:f>
              <c:numCache>
                <c:formatCode>d\-mmm\-yy</c:formatCode>
                <c:ptCount val="8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45955</c:v>
                </c:pt>
                <c:pt idx="6">
                  <c:v>45956</c:v>
                </c:pt>
                <c:pt idx="7">
                  <c:v>45957</c:v>
                </c:pt>
              </c:numCache>
            </c:numRef>
          </c:cat>
          <c:val>
            <c:numRef>
              <c:f>'Sprint 4'!$B$4:$B$11</c:f>
              <c:numCache>
                <c:formatCode>_-* #,##0_-;\-* #,##0_-;_-* "-"??_-;_-@_-</c:formatCode>
                <c:ptCount val="8"/>
                <c:pt idx="0" formatCode="General">
                  <c:v>36</c:v>
                </c:pt>
                <c:pt idx="1">
                  <c:v>30.857142857142858</c:v>
                </c:pt>
                <c:pt idx="2">
                  <c:v>25.714285714285715</c:v>
                </c:pt>
                <c:pt idx="3">
                  <c:v>20.571428571428573</c:v>
                </c:pt>
                <c:pt idx="4">
                  <c:v>15.428571428571431</c:v>
                </c:pt>
                <c:pt idx="5">
                  <c:v>10.285714285714288</c:v>
                </c:pt>
                <c:pt idx="6">
                  <c:v>5.142857142857145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64-4884-8DBB-EB69E4D7E50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4'!$A$4:$A$11</c:f>
              <c:numCache>
                <c:formatCode>d\-mmm\-yy</c:formatCode>
                <c:ptCount val="8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45955</c:v>
                </c:pt>
                <c:pt idx="6">
                  <c:v>45956</c:v>
                </c:pt>
                <c:pt idx="7">
                  <c:v>45957</c:v>
                </c:pt>
              </c:numCache>
            </c:numRef>
          </c:cat>
          <c:val>
            <c:numRef>
              <c:f>'Sprint 4'!$C$4:$C$11</c:f>
              <c:numCache>
                <c:formatCode>General</c:formatCode>
                <c:ptCount val="8"/>
                <c:pt idx="0">
                  <c:v>36</c:v>
                </c:pt>
                <c:pt idx="1">
                  <c:v>33</c:v>
                </c:pt>
                <c:pt idx="2">
                  <c:v>27</c:v>
                </c:pt>
                <c:pt idx="3">
                  <c:v>21</c:v>
                </c:pt>
                <c:pt idx="4">
                  <c:v>14</c:v>
                </c:pt>
                <c:pt idx="5">
                  <c:v>8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64-4884-8DBB-EB69E4D7E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158960"/>
        <c:axId val="1350302816"/>
      </c:lineChart>
      <c:dateAx>
        <c:axId val="134315896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302816"/>
        <c:crosses val="autoZero"/>
        <c:auto val="1"/>
        <c:lblOffset val="100"/>
        <c:baseTimeUnit val="days"/>
      </c:dateAx>
      <c:valAx>
        <c:axId val="135030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315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Born</a:t>
            </a:r>
            <a:r>
              <a:rPr lang="es-MX" baseline="0"/>
              <a:t> Down Chart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5'!$B$3</c:f>
              <c:strCache>
                <c:ptCount val="1"/>
                <c:pt idx="0">
                  <c:v>Estimado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5'!$A$4:$A$11</c:f>
              <c:numCache>
                <c:formatCode>d\-mmm\-yy</c:formatCode>
                <c:ptCount val="8"/>
                <c:pt idx="0">
                  <c:v>45958</c:v>
                </c:pt>
                <c:pt idx="1">
                  <c:v>45959</c:v>
                </c:pt>
                <c:pt idx="2">
                  <c:v>45960</c:v>
                </c:pt>
                <c:pt idx="3">
                  <c:v>45961</c:v>
                </c:pt>
                <c:pt idx="4">
                  <c:v>45962</c:v>
                </c:pt>
                <c:pt idx="5">
                  <c:v>45963</c:v>
                </c:pt>
                <c:pt idx="6">
                  <c:v>45964</c:v>
                </c:pt>
                <c:pt idx="7">
                  <c:v>45965</c:v>
                </c:pt>
              </c:numCache>
            </c:numRef>
          </c:cat>
          <c:val>
            <c:numRef>
              <c:f>'Sprint 5'!$B$4:$B$11</c:f>
              <c:numCache>
                <c:formatCode>_-* #,##0_-;\-* #,##0_-;_-* "-"??_-;_-@_-</c:formatCode>
                <c:ptCount val="8"/>
                <c:pt idx="0" formatCode="General">
                  <c:v>33</c:v>
                </c:pt>
                <c:pt idx="1">
                  <c:v>28.285714285714285</c:v>
                </c:pt>
                <c:pt idx="2">
                  <c:v>23.571428571428569</c:v>
                </c:pt>
                <c:pt idx="3">
                  <c:v>18.857142857142854</c:v>
                </c:pt>
                <c:pt idx="4">
                  <c:v>14.142857142857139</c:v>
                </c:pt>
                <c:pt idx="5">
                  <c:v>9.4285714285714235</c:v>
                </c:pt>
                <c:pt idx="6">
                  <c:v>4.7142857142857091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2-4D6A-92FC-0466F95A16AF}"/>
            </c:ext>
          </c:extLst>
        </c:ser>
        <c:ser>
          <c:idx val="1"/>
          <c:order val="1"/>
          <c:tx>
            <c:strRef>
              <c:f>'Sprint 5'!$C$3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5'!$A$4:$A$11</c:f>
              <c:numCache>
                <c:formatCode>d\-mmm\-yy</c:formatCode>
                <c:ptCount val="8"/>
                <c:pt idx="0">
                  <c:v>45958</c:v>
                </c:pt>
                <c:pt idx="1">
                  <c:v>45959</c:v>
                </c:pt>
                <c:pt idx="2">
                  <c:v>45960</c:v>
                </c:pt>
                <c:pt idx="3">
                  <c:v>45961</c:v>
                </c:pt>
                <c:pt idx="4">
                  <c:v>45962</c:v>
                </c:pt>
                <c:pt idx="5">
                  <c:v>45963</c:v>
                </c:pt>
                <c:pt idx="6">
                  <c:v>45964</c:v>
                </c:pt>
                <c:pt idx="7">
                  <c:v>45965</c:v>
                </c:pt>
              </c:numCache>
            </c:numRef>
          </c:cat>
          <c:val>
            <c:numRef>
              <c:f>'Sprint 5'!$C$4:$C$11</c:f>
              <c:numCache>
                <c:formatCode>General</c:formatCode>
                <c:ptCount val="8"/>
                <c:pt idx="0">
                  <c:v>33</c:v>
                </c:pt>
                <c:pt idx="1">
                  <c:v>29</c:v>
                </c:pt>
                <c:pt idx="2">
                  <c:v>25</c:v>
                </c:pt>
                <c:pt idx="3">
                  <c:v>18</c:v>
                </c:pt>
                <c:pt idx="4">
                  <c:v>14</c:v>
                </c:pt>
                <c:pt idx="5">
                  <c:v>8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2-4D6A-92FC-0466F95A1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584064"/>
        <c:axId val="1342313712"/>
      </c:lineChart>
      <c:dateAx>
        <c:axId val="137858406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2313712"/>
        <c:crosses val="autoZero"/>
        <c:auto val="1"/>
        <c:lblOffset val="100"/>
        <c:baseTimeUnit val="days"/>
      </c:dateAx>
      <c:valAx>
        <c:axId val="13423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858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6'!$B$3</c:f>
              <c:strCache>
                <c:ptCount val="1"/>
                <c:pt idx="0">
                  <c:v>Estimado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6'!$A$4:$A$12</c:f>
              <c:numCache>
                <c:formatCode>d\-mmm\-yy</c:formatCode>
                <c:ptCount val="9"/>
                <c:pt idx="0">
                  <c:v>45966</c:v>
                </c:pt>
                <c:pt idx="1">
                  <c:v>45967</c:v>
                </c:pt>
                <c:pt idx="2">
                  <c:v>45968</c:v>
                </c:pt>
                <c:pt idx="3">
                  <c:v>45969</c:v>
                </c:pt>
                <c:pt idx="4">
                  <c:v>45970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</c:numCache>
            </c:numRef>
          </c:cat>
          <c:val>
            <c:numRef>
              <c:f>'Sprint 6'!$B$4:$B$12</c:f>
              <c:numCache>
                <c:formatCode>_-* #,##0_-;\-* #,##0_-;_-* "-"??_-;_-@_-</c:formatCode>
                <c:ptCount val="9"/>
                <c:pt idx="0" formatCode="General">
                  <c:v>27</c:v>
                </c:pt>
                <c:pt idx="1">
                  <c:v>23.142857142857142</c:v>
                </c:pt>
                <c:pt idx="2">
                  <c:v>19.285714285714285</c:v>
                </c:pt>
                <c:pt idx="3">
                  <c:v>15.428571428571427</c:v>
                </c:pt>
                <c:pt idx="4">
                  <c:v>11.571428571428569</c:v>
                </c:pt>
                <c:pt idx="5">
                  <c:v>7.7142857142857117</c:v>
                </c:pt>
                <c:pt idx="6">
                  <c:v>3.8571428571428545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E-46BE-8BF8-61451EE386E4}"/>
            </c:ext>
          </c:extLst>
        </c:ser>
        <c:ser>
          <c:idx val="1"/>
          <c:order val="1"/>
          <c:tx>
            <c:strRef>
              <c:f>'Sprint 6'!$C$3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6'!$A$4:$A$12</c:f>
              <c:numCache>
                <c:formatCode>d\-mmm\-yy</c:formatCode>
                <c:ptCount val="9"/>
                <c:pt idx="0">
                  <c:v>45966</c:v>
                </c:pt>
                <c:pt idx="1">
                  <c:v>45967</c:v>
                </c:pt>
                <c:pt idx="2">
                  <c:v>45968</c:v>
                </c:pt>
                <c:pt idx="3">
                  <c:v>45969</c:v>
                </c:pt>
                <c:pt idx="4">
                  <c:v>45970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</c:numCache>
            </c:numRef>
          </c:cat>
          <c:val>
            <c:numRef>
              <c:f>'Sprint 6'!$C$4:$C$12</c:f>
              <c:numCache>
                <c:formatCode>General</c:formatCode>
                <c:ptCount val="9"/>
                <c:pt idx="0">
                  <c:v>27</c:v>
                </c:pt>
                <c:pt idx="1">
                  <c:v>21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10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E-46BE-8BF8-61451EE3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955168"/>
        <c:axId val="1336842832"/>
      </c:lineChart>
      <c:dateAx>
        <c:axId val="133695516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6842832"/>
        <c:crosses val="autoZero"/>
        <c:auto val="1"/>
        <c:lblOffset val="100"/>
        <c:baseTimeUnit val="days"/>
      </c:dateAx>
      <c:valAx>
        <c:axId val="13368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695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1</xdr:row>
      <xdr:rowOff>22860</xdr:rowOff>
    </xdr:from>
    <xdr:to>
      <xdr:col>10</xdr:col>
      <xdr:colOff>678180</xdr:colOff>
      <xdr:row>16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CFE6EC-8A8B-4EE5-A7D0-2115D542E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11</xdr:row>
      <xdr:rowOff>167640</xdr:rowOff>
    </xdr:from>
    <xdr:to>
      <xdr:col>7</xdr:col>
      <xdr:colOff>60960</xdr:colOff>
      <xdr:row>26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8831D6-C8E6-4282-8502-E5E1611F2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10</xdr:row>
      <xdr:rowOff>38100</xdr:rowOff>
    </xdr:from>
    <xdr:to>
      <xdr:col>6</xdr:col>
      <xdr:colOff>708660</xdr:colOff>
      <xdr:row>25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F0CC62-D82C-42E9-9134-31EAB3C8B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12</xdr:row>
      <xdr:rowOff>38100</xdr:rowOff>
    </xdr:from>
    <xdr:to>
      <xdr:col>7</xdr:col>
      <xdr:colOff>22860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1776D4-5AB8-477C-B44A-C5EE445CA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11</xdr:row>
      <xdr:rowOff>144780</xdr:rowOff>
    </xdr:from>
    <xdr:to>
      <xdr:col>6</xdr:col>
      <xdr:colOff>708660</xdr:colOff>
      <xdr:row>26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9D708-6B12-49B0-A905-2B72DA817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13</xdr:row>
      <xdr:rowOff>129540</xdr:rowOff>
    </xdr:from>
    <xdr:to>
      <xdr:col>7</xdr:col>
      <xdr:colOff>60960</xdr:colOff>
      <xdr:row>28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0F2314-0311-43AD-B946-3CD6E2D3E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4690-95F9-4503-94B6-478C255F13B0}">
  <dimension ref="A1:D10"/>
  <sheetViews>
    <sheetView workbookViewId="0">
      <selection activeCell="D20" sqref="D20"/>
    </sheetView>
  </sheetViews>
  <sheetFormatPr baseColWidth="10" defaultRowHeight="14.4" x14ac:dyDescent="0.3"/>
  <cols>
    <col min="1" max="1" width="9" bestFit="1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s="1">
        <v>45932</v>
      </c>
      <c r="B4">
        <v>22</v>
      </c>
      <c r="C4">
        <v>22</v>
      </c>
      <c r="D4">
        <f>+B4/6</f>
        <v>3.6666666666666665</v>
      </c>
    </row>
    <row r="5" spans="1:4" x14ac:dyDescent="0.3">
      <c r="A5" s="1">
        <v>45933</v>
      </c>
      <c r="B5" s="2">
        <f>+B4-$D$4</f>
        <v>18.333333333333332</v>
      </c>
      <c r="C5">
        <v>20</v>
      </c>
    </row>
    <row r="6" spans="1:4" x14ac:dyDescent="0.3">
      <c r="A6" s="1">
        <v>45934</v>
      </c>
      <c r="B6" s="2">
        <f t="shared" ref="B6:B9" si="0">+B5-$D$4</f>
        <v>14.666666666666666</v>
      </c>
      <c r="C6">
        <v>16</v>
      </c>
    </row>
    <row r="7" spans="1:4" x14ac:dyDescent="0.3">
      <c r="A7" s="1">
        <v>45935</v>
      </c>
      <c r="B7" s="2">
        <f t="shared" si="0"/>
        <v>11</v>
      </c>
      <c r="C7">
        <v>10</v>
      </c>
    </row>
    <row r="8" spans="1:4" x14ac:dyDescent="0.3">
      <c r="A8" s="1">
        <v>45936</v>
      </c>
      <c r="B8" s="2">
        <f t="shared" si="0"/>
        <v>7.3333333333333339</v>
      </c>
      <c r="C8">
        <v>5</v>
      </c>
    </row>
    <row r="9" spans="1:4" x14ac:dyDescent="0.3">
      <c r="A9" s="1">
        <v>45937</v>
      </c>
      <c r="B9" s="2">
        <f t="shared" si="0"/>
        <v>3.6666666666666674</v>
      </c>
      <c r="C9">
        <v>4</v>
      </c>
    </row>
    <row r="10" spans="1:4" x14ac:dyDescent="0.3">
      <c r="A10" s="1">
        <v>45938</v>
      </c>
      <c r="B10" s="2">
        <v>0</v>
      </c>
      <c r="C10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1F6A-FD5F-41F5-BB03-0B42C6432756}">
  <dimension ref="A1:D11"/>
  <sheetViews>
    <sheetView workbookViewId="0">
      <selection activeCell="E9" sqref="E9"/>
    </sheetView>
  </sheetViews>
  <sheetFormatPr baseColWidth="10" defaultRowHeight="14.4" x14ac:dyDescent="0.3"/>
  <sheetData>
    <row r="1" spans="1:4" x14ac:dyDescent="0.3">
      <c r="A1" t="s">
        <v>4</v>
      </c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s="1">
        <v>45939</v>
      </c>
      <c r="B4">
        <v>28</v>
      </c>
      <c r="C4">
        <v>28</v>
      </c>
      <c r="D4">
        <f>+B4/7</f>
        <v>4</v>
      </c>
    </row>
    <row r="5" spans="1:4" x14ac:dyDescent="0.3">
      <c r="A5" s="1">
        <v>45940</v>
      </c>
      <c r="B5" s="2">
        <f>+B4-$D$4</f>
        <v>24</v>
      </c>
      <c r="C5">
        <v>25</v>
      </c>
    </row>
    <row r="6" spans="1:4" x14ac:dyDescent="0.3">
      <c r="A6" s="1">
        <v>45941</v>
      </c>
      <c r="B6" s="2">
        <f t="shared" ref="B6:B11" si="0">+B5-$D$4</f>
        <v>20</v>
      </c>
      <c r="C6">
        <v>20</v>
      </c>
    </row>
    <row r="7" spans="1:4" x14ac:dyDescent="0.3">
      <c r="A7" s="1">
        <v>45942</v>
      </c>
      <c r="B7" s="2">
        <f t="shared" si="0"/>
        <v>16</v>
      </c>
      <c r="C7">
        <v>13</v>
      </c>
    </row>
    <row r="8" spans="1:4" x14ac:dyDescent="0.3">
      <c r="A8" s="1">
        <v>45943</v>
      </c>
      <c r="B8" s="2">
        <f t="shared" si="0"/>
        <v>12</v>
      </c>
      <c r="C8">
        <v>3</v>
      </c>
    </row>
    <row r="9" spans="1:4" x14ac:dyDescent="0.3">
      <c r="A9" s="1">
        <v>45944</v>
      </c>
      <c r="B9" s="2">
        <f t="shared" si="0"/>
        <v>8</v>
      </c>
      <c r="C9">
        <v>1</v>
      </c>
    </row>
    <row r="10" spans="1:4" x14ac:dyDescent="0.3">
      <c r="A10" s="1">
        <v>45945</v>
      </c>
      <c r="B10" s="2">
        <f t="shared" si="0"/>
        <v>4</v>
      </c>
      <c r="C10">
        <v>0</v>
      </c>
    </row>
    <row r="11" spans="1:4" x14ac:dyDescent="0.3">
      <c r="A11" s="1">
        <v>45946</v>
      </c>
      <c r="B11" s="2">
        <f t="shared" si="0"/>
        <v>0</v>
      </c>
      <c r="C1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EFF6-E85D-4035-A015-FB69D40D59B4}">
  <dimension ref="A1:D10"/>
  <sheetViews>
    <sheetView workbookViewId="0">
      <selection sqref="A1:D9"/>
    </sheetView>
  </sheetViews>
  <sheetFormatPr baseColWidth="10" defaultRowHeight="14.4" x14ac:dyDescent="0.3"/>
  <sheetData>
    <row r="1" spans="1:4" x14ac:dyDescent="0.3">
      <c r="A1" t="s">
        <v>5</v>
      </c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s="1">
        <v>45945</v>
      </c>
      <c r="B4">
        <v>24</v>
      </c>
      <c r="C4">
        <v>24</v>
      </c>
      <c r="D4">
        <f>+B4/5</f>
        <v>4.8</v>
      </c>
    </row>
    <row r="5" spans="1:4" x14ac:dyDescent="0.3">
      <c r="A5" s="1">
        <v>45946</v>
      </c>
      <c r="B5" s="2">
        <f>+B4-$D$4</f>
        <v>19.2</v>
      </c>
      <c r="C5">
        <v>22</v>
      </c>
    </row>
    <row r="6" spans="1:4" x14ac:dyDescent="0.3">
      <c r="A6" s="1">
        <v>45947</v>
      </c>
      <c r="B6" s="2">
        <f t="shared" ref="B6:B10" si="0">+B5-$D$4</f>
        <v>14.399999999999999</v>
      </c>
      <c r="C6">
        <v>12</v>
      </c>
    </row>
    <row r="7" spans="1:4" x14ac:dyDescent="0.3">
      <c r="A7" s="1">
        <v>45948</v>
      </c>
      <c r="B7" s="2">
        <f t="shared" si="0"/>
        <v>9.5999999999999979</v>
      </c>
      <c r="C7">
        <v>8</v>
      </c>
    </row>
    <row r="8" spans="1:4" x14ac:dyDescent="0.3">
      <c r="A8" s="1">
        <v>45949</v>
      </c>
      <c r="B8" s="2">
        <f t="shared" si="0"/>
        <v>4.799999999999998</v>
      </c>
      <c r="C8">
        <v>2</v>
      </c>
    </row>
    <row r="9" spans="1:4" x14ac:dyDescent="0.3">
      <c r="A9" s="1">
        <v>45950</v>
      </c>
      <c r="B9" s="2">
        <f t="shared" si="0"/>
        <v>0</v>
      </c>
      <c r="C9">
        <v>0</v>
      </c>
    </row>
    <row r="10" spans="1:4" x14ac:dyDescent="0.3">
      <c r="A10" s="1"/>
      <c r="B10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A2B8-99AE-4E03-ABC3-9F7A386590F8}">
  <dimension ref="A1:D11"/>
  <sheetViews>
    <sheetView workbookViewId="0">
      <selection sqref="A1:D11"/>
    </sheetView>
  </sheetViews>
  <sheetFormatPr baseColWidth="10" defaultRowHeight="14.4" x14ac:dyDescent="0.3"/>
  <sheetData>
    <row r="1" spans="1:4" x14ac:dyDescent="0.3">
      <c r="A1" t="s">
        <v>6</v>
      </c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s="1">
        <v>45950</v>
      </c>
      <c r="B4">
        <v>36</v>
      </c>
      <c r="C4">
        <v>36</v>
      </c>
      <c r="D4">
        <f>+B4/7</f>
        <v>5.1428571428571432</v>
      </c>
    </row>
    <row r="5" spans="1:4" x14ac:dyDescent="0.3">
      <c r="A5" s="1">
        <v>45951</v>
      </c>
      <c r="B5" s="2">
        <f>+B4-$D$4</f>
        <v>30.857142857142858</v>
      </c>
      <c r="C5">
        <v>33</v>
      </c>
    </row>
    <row r="6" spans="1:4" x14ac:dyDescent="0.3">
      <c r="A6" s="1">
        <v>45952</v>
      </c>
      <c r="B6" s="2">
        <f t="shared" ref="B6:B11" si="0">+B5-$D$4</f>
        <v>25.714285714285715</v>
      </c>
      <c r="C6">
        <v>27</v>
      </c>
    </row>
    <row r="7" spans="1:4" x14ac:dyDescent="0.3">
      <c r="A7" s="1">
        <v>45953</v>
      </c>
      <c r="B7" s="2">
        <f t="shared" si="0"/>
        <v>20.571428571428573</v>
      </c>
      <c r="C7">
        <v>21</v>
      </c>
    </row>
    <row r="8" spans="1:4" x14ac:dyDescent="0.3">
      <c r="A8" s="1">
        <v>45954</v>
      </c>
      <c r="B8" s="2">
        <f t="shared" si="0"/>
        <v>15.428571428571431</v>
      </c>
      <c r="C8">
        <v>14</v>
      </c>
    </row>
    <row r="9" spans="1:4" x14ac:dyDescent="0.3">
      <c r="A9" s="1">
        <v>45955</v>
      </c>
      <c r="B9" s="2">
        <f t="shared" si="0"/>
        <v>10.285714285714288</v>
      </c>
      <c r="C9">
        <v>8</v>
      </c>
    </row>
    <row r="10" spans="1:4" x14ac:dyDescent="0.3">
      <c r="A10" s="1">
        <v>45956</v>
      </c>
      <c r="B10" s="2">
        <f t="shared" si="0"/>
        <v>5.142857142857145</v>
      </c>
      <c r="C10">
        <v>3</v>
      </c>
    </row>
    <row r="11" spans="1:4" x14ac:dyDescent="0.3">
      <c r="A11" s="1">
        <v>45957</v>
      </c>
      <c r="B11" s="2">
        <f t="shared" si="0"/>
        <v>0</v>
      </c>
      <c r="C1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17E3-1405-4A6F-A0F9-89737AF2775E}">
  <dimension ref="A1:D11"/>
  <sheetViews>
    <sheetView workbookViewId="0">
      <selection sqref="A1:D11"/>
    </sheetView>
  </sheetViews>
  <sheetFormatPr baseColWidth="10" defaultRowHeight="14.4" x14ac:dyDescent="0.3"/>
  <sheetData>
    <row r="1" spans="1:4" x14ac:dyDescent="0.3">
      <c r="A1" t="s">
        <v>7</v>
      </c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s="1">
        <v>45958</v>
      </c>
      <c r="B4">
        <v>33</v>
      </c>
      <c r="C4">
        <v>33</v>
      </c>
      <c r="D4">
        <f>+B4/7</f>
        <v>4.7142857142857144</v>
      </c>
    </row>
    <row r="5" spans="1:4" x14ac:dyDescent="0.3">
      <c r="A5" s="1">
        <v>45959</v>
      </c>
      <c r="B5" s="2">
        <f>+B4-$D$4</f>
        <v>28.285714285714285</v>
      </c>
      <c r="C5">
        <v>29</v>
      </c>
    </row>
    <row r="6" spans="1:4" x14ac:dyDescent="0.3">
      <c r="A6" s="1">
        <v>45960</v>
      </c>
      <c r="B6" s="2">
        <f t="shared" ref="B6:B11" si="0">+B5-$D$4</f>
        <v>23.571428571428569</v>
      </c>
      <c r="C6">
        <v>25</v>
      </c>
    </row>
    <row r="7" spans="1:4" x14ac:dyDescent="0.3">
      <c r="A7" s="1">
        <v>45961</v>
      </c>
      <c r="B7" s="2">
        <f t="shared" si="0"/>
        <v>18.857142857142854</v>
      </c>
      <c r="C7">
        <v>18</v>
      </c>
    </row>
    <row r="8" spans="1:4" x14ac:dyDescent="0.3">
      <c r="A8" s="1">
        <v>45962</v>
      </c>
      <c r="B8" s="2">
        <f t="shared" si="0"/>
        <v>14.142857142857139</v>
      </c>
      <c r="C8">
        <v>14</v>
      </c>
    </row>
    <row r="9" spans="1:4" x14ac:dyDescent="0.3">
      <c r="A9" s="1">
        <v>45963</v>
      </c>
      <c r="B9" s="2">
        <f t="shared" si="0"/>
        <v>9.4285714285714235</v>
      </c>
      <c r="C9">
        <v>8</v>
      </c>
    </row>
    <row r="10" spans="1:4" x14ac:dyDescent="0.3">
      <c r="A10" s="1">
        <v>45964</v>
      </c>
      <c r="B10" s="2">
        <f t="shared" si="0"/>
        <v>4.7142857142857091</v>
      </c>
      <c r="C10">
        <v>4</v>
      </c>
    </row>
    <row r="11" spans="1:4" x14ac:dyDescent="0.3">
      <c r="A11" s="1">
        <v>45965</v>
      </c>
      <c r="B11" s="2">
        <f t="shared" si="0"/>
        <v>0</v>
      </c>
      <c r="C1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D1AC-4406-4F15-853E-E273E194ACE4}">
  <dimension ref="A1:D12"/>
  <sheetViews>
    <sheetView tabSelected="1" workbookViewId="0">
      <selection activeCell="D13" sqref="D13"/>
    </sheetView>
  </sheetViews>
  <sheetFormatPr baseColWidth="10" defaultRowHeight="14.4" x14ac:dyDescent="0.3"/>
  <sheetData>
    <row r="1" spans="1:4" x14ac:dyDescent="0.3">
      <c r="A1" t="s">
        <v>8</v>
      </c>
    </row>
    <row r="3" spans="1:4" x14ac:dyDescent="0.3">
      <c r="A3" t="s">
        <v>1</v>
      </c>
      <c r="B3" t="s">
        <v>2</v>
      </c>
      <c r="C3" t="s">
        <v>3</v>
      </c>
    </row>
    <row r="4" spans="1:4" x14ac:dyDescent="0.3">
      <c r="A4" s="1">
        <v>45966</v>
      </c>
      <c r="B4">
        <v>27</v>
      </c>
      <c r="C4">
        <v>27</v>
      </c>
      <c r="D4">
        <f>+B4/7</f>
        <v>3.8571428571428572</v>
      </c>
    </row>
    <row r="5" spans="1:4" x14ac:dyDescent="0.3">
      <c r="A5" s="1">
        <v>45967</v>
      </c>
      <c r="B5" s="2">
        <f>+B4-$D$4</f>
        <v>23.142857142857142</v>
      </c>
      <c r="C5">
        <v>21</v>
      </c>
    </row>
    <row r="6" spans="1:4" x14ac:dyDescent="0.3">
      <c r="A6" s="1">
        <v>45968</v>
      </c>
      <c r="B6" s="2">
        <f t="shared" ref="B6:B11" si="0">+B5-$D$4</f>
        <v>19.285714285714285</v>
      </c>
      <c r="C6">
        <v>18</v>
      </c>
    </row>
    <row r="7" spans="1:4" x14ac:dyDescent="0.3">
      <c r="A7" s="1">
        <v>45969</v>
      </c>
      <c r="B7" s="2">
        <f t="shared" si="0"/>
        <v>15.428571428571427</v>
      </c>
      <c r="C7">
        <v>18</v>
      </c>
    </row>
    <row r="8" spans="1:4" x14ac:dyDescent="0.3">
      <c r="A8" s="1">
        <v>45970</v>
      </c>
      <c r="B8" s="2">
        <f t="shared" si="0"/>
        <v>11.571428571428569</v>
      </c>
      <c r="C8">
        <v>18</v>
      </c>
    </row>
    <row r="9" spans="1:4" x14ac:dyDescent="0.3">
      <c r="A9" s="1">
        <v>45971</v>
      </c>
      <c r="B9" s="2">
        <f t="shared" si="0"/>
        <v>7.7142857142857117</v>
      </c>
      <c r="C9">
        <v>10</v>
      </c>
    </row>
    <row r="10" spans="1:4" x14ac:dyDescent="0.3">
      <c r="A10" s="1">
        <v>45972</v>
      </c>
      <c r="B10" s="2">
        <f t="shared" si="0"/>
        <v>3.8571428571428545</v>
      </c>
      <c r="C10">
        <v>5</v>
      </c>
    </row>
    <row r="11" spans="1:4" x14ac:dyDescent="0.3">
      <c r="A11" s="1">
        <v>45973</v>
      </c>
      <c r="B11" s="2">
        <f t="shared" si="0"/>
        <v>0</v>
      </c>
      <c r="C11">
        <v>1</v>
      </c>
    </row>
    <row r="12" spans="1:4" x14ac:dyDescent="0.3">
      <c r="A12" s="1">
        <v>45974</v>
      </c>
      <c r="C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ALONZO YAM CETINA</dc:creator>
  <cp:lastModifiedBy>Diego Yam Cetina</cp:lastModifiedBy>
  <dcterms:created xsi:type="dcterms:W3CDTF">2025-11-25T21:50:31Z</dcterms:created>
  <dcterms:modified xsi:type="dcterms:W3CDTF">2025-11-25T23:04:05Z</dcterms:modified>
</cp:coreProperties>
</file>